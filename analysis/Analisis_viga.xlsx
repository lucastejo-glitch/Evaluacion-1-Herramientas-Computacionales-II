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29E742C-1090-4442-98DE-D3461DFB0987}" xr6:coauthVersionLast="47" xr6:coauthVersionMax="47" xr10:uidLastSave="{00000000-0000-0000-0000-000000000000}"/>
  <bookViews>
    <workbookView xWindow="-120" yWindow="-120" windowWidth="29040" windowHeight="15720" xr2:uid="{B41BBB95-E71B-4384-9E86-F6CFCACDA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K7" i="1"/>
  <c r="K4" i="1"/>
  <c r="F4" i="1"/>
  <c r="C7" i="1"/>
  <c r="K3" i="1" l="1"/>
  <c r="L3" i="1" s="1"/>
  <c r="L4" i="1"/>
  <c r="M4" i="1"/>
  <c r="K11" i="1"/>
  <c r="K10" i="1"/>
  <c r="K9" i="1"/>
  <c r="K6" i="1"/>
  <c r="K5" i="1"/>
  <c r="M10" i="1" l="1"/>
  <c r="L10" i="1"/>
  <c r="L5" i="1"/>
  <c r="M5" i="1"/>
  <c r="M6" i="1"/>
  <c r="L6" i="1"/>
  <c r="M7" i="1"/>
  <c r="L7" i="1"/>
  <c r="M8" i="1"/>
  <c r="L8" i="1"/>
  <c r="M9" i="1"/>
  <c r="L9" i="1"/>
  <c r="M11" i="1"/>
  <c r="L11" i="1"/>
</calcChain>
</file>

<file path=xl/sharedStrings.xml><?xml version="1.0" encoding="utf-8"?>
<sst xmlns="http://schemas.openxmlformats.org/spreadsheetml/2006/main" count="19" uniqueCount="17">
  <si>
    <t>Datos Viga</t>
  </si>
  <si>
    <t>Luz</t>
  </si>
  <si>
    <t>b</t>
  </si>
  <si>
    <t>h</t>
  </si>
  <si>
    <t>E</t>
  </si>
  <si>
    <t>m</t>
  </si>
  <si>
    <t>Segundo momento de inercia</t>
  </si>
  <si>
    <t>I =</t>
  </si>
  <si>
    <t>m^3</t>
  </si>
  <si>
    <t>Kn/m^2</t>
  </si>
  <si>
    <t>Carga [Kn]</t>
  </si>
  <si>
    <t>Deflexión teórica [mm]</t>
  </si>
  <si>
    <t>Deflexión [mm]</t>
  </si>
  <si>
    <t>Diferencia de deflexion [mm]</t>
  </si>
  <si>
    <t>Diferencia relativa [%]</t>
  </si>
  <si>
    <t>GPa</t>
  </si>
  <si>
    <t xml:space="preserve">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</si>
</sst>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167" fontId="0" fillId="2" borderId="7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Border="1"/>
    <xf numFmtId="2" fontId="0" fillId="0" borderId="12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9" fontId="0" fillId="0" borderId="4" xfId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</a:t>
            </a:r>
            <a:r>
              <a:rPr lang="es-CL" baseline="0"/>
              <a:t> teorica y medida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Deflexión Teorica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Hoja1!$K$3:$K$11</c:f>
              <c:numCache>
                <c:formatCode>0.00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xVal>
          <c:yVal>
            <c:numRef>
              <c:f>Hoja1!$I$3:$I$11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A-4BF6-924A-0500E366FEC5}"/>
            </c:ext>
          </c:extLst>
        </c:ser>
        <c:ser>
          <c:idx val="1"/>
          <c:order val="1"/>
          <c:tx>
            <c:v>Deflexión Medida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Hoja1!$J$3:$J$11</c:f>
              <c:numCache>
                <c:formatCode>0.00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xVal>
          <c:yVal>
            <c:numRef>
              <c:f>Hoja1!$I$3:$I$11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A-4BF6-924A-0500E366F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605904"/>
        <c:axId val="791606384"/>
      </c:scatterChart>
      <c:valAx>
        <c:axId val="79160590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Deflexión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1606384"/>
        <c:crosses val="autoZero"/>
        <c:crossBetween val="midCat"/>
      </c:valAx>
      <c:valAx>
        <c:axId val="79160638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0"/>
                  <a:t>Carga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160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1</xdr:row>
      <xdr:rowOff>33337</xdr:rowOff>
    </xdr:from>
    <xdr:to>
      <xdr:col>20</xdr:col>
      <xdr:colOff>485775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728BE5-CDDF-2FBC-C612-6068611A0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04B6-B925-4C8A-8AD3-7D6C6D382EED}">
  <dimension ref="B1:O19"/>
  <sheetViews>
    <sheetView tabSelected="1" workbookViewId="0">
      <selection activeCell="G9" sqref="G9"/>
    </sheetView>
  </sheetViews>
  <sheetFormatPr baseColWidth="10" defaultRowHeight="15" x14ac:dyDescent="0.25"/>
  <cols>
    <col min="4" max="4" width="15.42578125" bestFit="1" customWidth="1"/>
    <col min="7" max="7" width="10.28515625" customWidth="1"/>
    <col min="8" max="8" width="13.42578125" bestFit="1" customWidth="1"/>
    <col min="10" max="10" width="15" customWidth="1"/>
    <col min="11" max="11" width="14.5703125" customWidth="1"/>
    <col min="12" max="12" width="14.42578125" customWidth="1"/>
    <col min="13" max="13" width="12.5703125" customWidth="1"/>
  </cols>
  <sheetData>
    <row r="1" spans="2:15" ht="15.75" thickBot="1" x14ac:dyDescent="0.3"/>
    <row r="2" spans="2:15" ht="30.75" thickBot="1" x14ac:dyDescent="0.3">
      <c r="C2" s="1" t="s">
        <v>0</v>
      </c>
      <c r="E2" s="27" t="s">
        <v>6</v>
      </c>
      <c r="F2" s="28"/>
      <c r="G2" s="29"/>
      <c r="I2" s="8" t="s">
        <v>10</v>
      </c>
      <c r="J2" s="2" t="s">
        <v>12</v>
      </c>
      <c r="K2" s="23" t="s">
        <v>11</v>
      </c>
      <c r="L2" s="24" t="s">
        <v>13</v>
      </c>
      <c r="M2" s="24" t="s">
        <v>14</v>
      </c>
      <c r="O2" s="7"/>
    </row>
    <row r="3" spans="2:15" ht="15.75" thickBot="1" x14ac:dyDescent="0.3">
      <c r="B3" s="3" t="s">
        <v>1</v>
      </c>
      <c r="C3" s="4">
        <v>4</v>
      </c>
      <c r="D3" t="s">
        <v>5</v>
      </c>
      <c r="I3" s="9">
        <v>0</v>
      </c>
      <c r="J3" s="12">
        <v>0</v>
      </c>
      <c r="K3" s="16">
        <f>((I3*$C$3^3)/(48*$C$7*$F$4))*1000</f>
        <v>0</v>
      </c>
      <c r="L3" s="19">
        <f>+J3-K3</f>
        <v>0</v>
      </c>
      <c r="M3" s="20">
        <v>0</v>
      </c>
    </row>
    <row r="4" spans="2:15" ht="15.75" thickBot="1" x14ac:dyDescent="0.3">
      <c r="B4" s="3" t="s">
        <v>2</v>
      </c>
      <c r="C4" s="5">
        <v>0.2</v>
      </c>
      <c r="D4" t="s">
        <v>5</v>
      </c>
      <c r="E4" s="10" t="s">
        <v>7</v>
      </c>
      <c r="F4" s="11">
        <f>(C4*C5^3)/12</f>
        <v>1.0666666666666669E-3</v>
      </c>
      <c r="G4" t="s">
        <v>8</v>
      </c>
      <c r="I4" s="5">
        <v>5</v>
      </c>
      <c r="J4" s="13">
        <v>0.26</v>
      </c>
      <c r="K4" s="17">
        <f>((I4*$C$3^3)/(48*$C$7*$F$4))*1000</f>
        <v>0.24999999999999994</v>
      </c>
      <c r="L4" s="13">
        <f t="shared" ref="L4:L11" si="0">+J4-K4</f>
        <v>1.0000000000000064E-2</v>
      </c>
      <c r="M4" s="21">
        <f t="shared" ref="M4:M11" si="1">(J4-K4)/K4</f>
        <v>4.0000000000000265E-2</v>
      </c>
    </row>
    <row r="5" spans="2:15" ht="15.75" thickBot="1" x14ac:dyDescent="0.3">
      <c r="B5" s="3" t="s">
        <v>3</v>
      </c>
      <c r="C5" s="5">
        <v>0.4</v>
      </c>
      <c r="D5" t="s">
        <v>5</v>
      </c>
      <c r="I5" s="5">
        <v>10</v>
      </c>
      <c r="J5" s="13">
        <v>0.5</v>
      </c>
      <c r="K5" s="17">
        <f>((I5*$C$3^3)/(48*$C$7*$F$4))*1000</f>
        <v>0.49999999999999989</v>
      </c>
      <c r="L5" s="13">
        <f t="shared" si="0"/>
        <v>0</v>
      </c>
      <c r="M5" s="21">
        <f t="shared" si="1"/>
        <v>2.2204460492503136E-16</v>
      </c>
    </row>
    <row r="6" spans="2:15" ht="15.75" thickBot="1" x14ac:dyDescent="0.3">
      <c r="B6" s="3" t="s">
        <v>4</v>
      </c>
      <c r="C6" s="26">
        <v>25</v>
      </c>
      <c r="D6" t="s">
        <v>15</v>
      </c>
      <c r="I6" s="5">
        <v>15</v>
      </c>
      <c r="J6" s="13">
        <v>0.76</v>
      </c>
      <c r="K6" s="17">
        <f>((I6*$C$3^3)/(48*$C$7*$F$4))*1000</f>
        <v>0.74999999999999989</v>
      </c>
      <c r="L6" s="13">
        <f t="shared" si="0"/>
        <v>1.000000000000012E-2</v>
      </c>
      <c r="M6" s="21">
        <f t="shared" si="1"/>
        <v>1.3333333333333496E-2</v>
      </c>
    </row>
    <row r="7" spans="2:15" ht="15.75" thickBot="1" x14ac:dyDescent="0.3">
      <c r="B7" s="25" t="s">
        <v>16</v>
      </c>
      <c r="C7" s="6">
        <f>25*1000000</f>
        <v>25000000</v>
      </c>
      <c r="D7" t="s">
        <v>9</v>
      </c>
      <c r="I7" s="5">
        <v>20</v>
      </c>
      <c r="J7" s="13">
        <v>1.01</v>
      </c>
      <c r="K7" s="17">
        <f>((I7*$C$3^3)/(48*$C$7*$F$4))*1000</f>
        <v>0.99999999999999978</v>
      </c>
      <c r="L7" s="13">
        <f t="shared" si="0"/>
        <v>1.0000000000000231E-2</v>
      </c>
      <c r="M7" s="21">
        <f t="shared" si="1"/>
        <v>1.0000000000000233E-2</v>
      </c>
    </row>
    <row r="8" spans="2:15" x14ac:dyDescent="0.25">
      <c r="I8" s="5">
        <v>25</v>
      </c>
      <c r="J8" s="13">
        <v>1.28</v>
      </c>
      <c r="K8" s="17">
        <f>((I8*$C$3^3)/(48*$C$7*$F$4))*1000</f>
        <v>1.2499999999999998</v>
      </c>
      <c r="L8" s="13">
        <f t="shared" si="0"/>
        <v>3.0000000000000249E-2</v>
      </c>
      <c r="M8" s="21">
        <f t="shared" si="1"/>
        <v>2.4000000000000202E-2</v>
      </c>
    </row>
    <row r="9" spans="2:15" x14ac:dyDescent="0.25">
      <c r="I9" s="5">
        <v>30</v>
      </c>
      <c r="J9" s="13">
        <v>1.54</v>
      </c>
      <c r="K9" s="17">
        <f>((I9*$C$3^3)/(48*$C$7*$F$4))*1000</f>
        <v>1.4999999999999998</v>
      </c>
      <c r="L9" s="13">
        <f t="shared" si="0"/>
        <v>4.0000000000000258E-2</v>
      </c>
      <c r="M9" s="21">
        <f t="shared" si="1"/>
        <v>2.6666666666666842E-2</v>
      </c>
    </row>
    <row r="10" spans="2:15" x14ac:dyDescent="0.25">
      <c r="I10" s="5">
        <v>35</v>
      </c>
      <c r="J10" s="13">
        <v>1.77</v>
      </c>
      <c r="K10" s="17">
        <f>((I10*$C$3^3)/(48*$C$7*$F$4))*1000</f>
        <v>1.7499999999999996</v>
      </c>
      <c r="L10" s="13">
        <f t="shared" si="0"/>
        <v>2.0000000000000462E-2</v>
      </c>
      <c r="M10" s="21">
        <f t="shared" si="1"/>
        <v>1.1428571428571696E-2</v>
      </c>
    </row>
    <row r="11" spans="2:15" ht="15.75" thickBot="1" x14ac:dyDescent="0.3">
      <c r="I11" s="6">
        <v>40</v>
      </c>
      <c r="J11" s="14">
        <v>2.0499999999999998</v>
      </c>
      <c r="K11" s="18">
        <f>((I11*$C$3^3)/(48*$C$7*$F$4))*1000</f>
        <v>1.9999999999999996</v>
      </c>
      <c r="L11" s="14">
        <f t="shared" si="0"/>
        <v>5.0000000000000266E-2</v>
      </c>
      <c r="M11" s="22">
        <f t="shared" si="1"/>
        <v>2.500000000000014E-2</v>
      </c>
    </row>
    <row r="12" spans="2:15" x14ac:dyDescent="0.25">
      <c r="M12" s="15"/>
    </row>
    <row r="13" spans="2:15" x14ac:dyDescent="0.25">
      <c r="M13" s="15"/>
    </row>
    <row r="14" spans="2:15" x14ac:dyDescent="0.25">
      <c r="M14" s="15"/>
    </row>
    <row r="15" spans="2:15" x14ac:dyDescent="0.25">
      <c r="M15" s="15"/>
    </row>
    <row r="16" spans="2:15" x14ac:dyDescent="0.25">
      <c r="M16" s="15"/>
    </row>
    <row r="17" spans="13:13" x14ac:dyDescent="0.25">
      <c r="M17" s="15"/>
    </row>
    <row r="18" spans="13:13" x14ac:dyDescent="0.25">
      <c r="M18" s="15"/>
    </row>
    <row r="19" spans="13:13" x14ac:dyDescent="0.25">
      <c r="M19" s="15"/>
    </row>
  </sheetData>
  <mergeCells count="1">
    <mergeCell ref="E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Tejo Garrido</dc:creator>
  <cp:lastModifiedBy>Lucas Tejo Garrido</cp:lastModifiedBy>
  <dcterms:created xsi:type="dcterms:W3CDTF">2026-09-30T22:22:39Z</dcterms:created>
  <dcterms:modified xsi:type="dcterms:W3CDTF">2026-10-01T00:57:35Z</dcterms:modified>
</cp:coreProperties>
</file>